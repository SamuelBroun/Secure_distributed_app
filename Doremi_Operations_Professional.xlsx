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לוח בקרה" sheetId="1" state="visible" r:id="rId1"/>
    <sheet name="משימות" sheetId="2" state="visible" r:id="rId2"/>
    <sheet name="מאגר לינקים" sheetId="3" state="visible" r:id="rId3"/>
    <sheet name="מאגר הודעות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DCE6F1"/>
      <sz val="11"/>
    </font>
    <font>
      <name val="Calibri"/>
      <b val="1"/>
      <color rgb="00FFFFFF"/>
      <sz val="11"/>
    </font>
    <font>
      <name val="Calibri"/>
      <color rgb="001A1A1A"/>
      <sz val="11"/>
    </font>
    <font>
      <b val="1"/>
      <color rgb="00FFFFFF"/>
      <sz val="11"/>
    </font>
    <font>
      <b val="1"/>
      <color rgb="002E75B6"/>
      <sz val="26"/>
    </font>
    <font>
      <b val="1"/>
      <color rgb="002E9E5B"/>
      <sz val="26"/>
    </font>
    <font>
      <b val="1"/>
      <color rgb="00C9981B"/>
      <sz val="26"/>
    </font>
    <font>
      <b val="1"/>
      <color rgb="00C0392B"/>
      <sz val="26"/>
    </font>
    <font>
      <b val="1"/>
      <color rgb="00FFFFFF"/>
    </font>
    <font>
      <b val="1"/>
      <color rgb="002E75B6"/>
      <sz val="22"/>
    </font>
    <font>
      <b val="1"/>
      <color rgb="001F4E78"/>
      <sz val="13"/>
    </font>
    <font>
      <i val="1"/>
      <color rgb="0044546A"/>
      <sz val="11"/>
    </font>
    <font>
      <color rgb="001A1A1A"/>
      <sz val="11"/>
    </font>
  </fonts>
  <fills count="10">
    <fill>
      <patternFill/>
    </fill>
    <fill>
      <patternFill patternType="gray125"/>
    </fill>
    <fill>
      <patternFill patternType="solid">
        <fgColor rgb="000F2A43"/>
      </patternFill>
    </fill>
    <fill>
      <patternFill patternType="solid">
        <fgColor rgb="001F4E78"/>
      </patternFill>
    </fill>
    <fill>
      <patternFill patternType="solid">
        <fgColor rgb="00EAF1F8"/>
      </patternFill>
    </fill>
    <fill>
      <patternFill patternType="solid">
        <fgColor rgb="002E75B6"/>
      </patternFill>
    </fill>
    <fill>
      <patternFill patternType="solid">
        <fgColor rgb="00F4F8FC"/>
      </patternFill>
    </fill>
    <fill>
      <patternFill patternType="solid">
        <fgColor rgb="002E9E5B"/>
      </patternFill>
    </fill>
    <fill>
      <patternFill patternType="solid">
        <fgColor rgb="00C9981B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9" fontId="11" fillId="6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3" fillId="0" borderId="0" applyAlignment="1" pivotButton="0" quotePrefix="0" xfId="0">
      <alignment horizontal="right" vertical="center" wrapText="1"/>
    </xf>
    <xf numFmtId="0" fontId="14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התפלגות סטטוס משימות</a:t>
            </a:r>
          </a:p>
        </rich>
      </tx>
    </title>
    <plotArea>
      <pieChart>
        <varyColors val="1"/>
        <ser>
          <idx val="0"/>
          <order val="0"/>
          <tx>
            <strRef>
              <f>'לוח בקרה'!B12</f>
            </strRef>
          </tx>
          <spPr>
            <a:ln>
              <a:prstDash val="solid"/>
            </a:ln>
          </spPr>
          <cat>
            <numRef>
              <f>'לוח בקרה'!$A$13:$A$15</f>
            </numRef>
          </cat>
          <val>
            <numRef>
              <f>'לוח בקרה'!$B$13:$B$15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משימות לפי קטגוריה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'לוח בקרה'!E12</f>
            </strRef>
          </tx>
          <spPr>
            <a:ln>
              <a:prstDash val="solid"/>
            </a:ln>
          </spPr>
          <cat>
            <numRef>
              <f>'לוח בקרה'!$D$13:$D$17</f>
            </numRef>
          </cat>
          <val>
            <numRef>
              <f>'לוח בקרה'!$E$13:$E$17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43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43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Tasks" displayName="tblTasks" ref="A4:G16" headerRowCount="1">
  <autoFilter ref="A4:G16"/>
  <tableColumns count="7">
    <tableColumn id="1" name="קטגוריה"/>
    <tableColumn id="2" name="משימה"/>
    <tableColumn id="3" name="הערה"/>
    <tableColumn id="4" name="פירוט"/>
    <tableColumn id="5" name="אחראי"/>
    <tableColumn id="6" name="תאריך יעד"/>
    <tableColumn id="7" name="סטטוס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Links" displayName="tblLinks" ref="A4:L7" headerRowCount="1">
  <autoFilter ref="A4:L7"/>
  <tableColumns count="12">
    <tableColumn id="1" name="שם הלינק"/>
    <tableColumn id="2" name="תיאור הלינק"/>
    <tableColumn id="3" name="לינק מאסטר"/>
    <tableColumn id="4" name="לינק מוקד רווח 1"/>
    <tableColumn id="5" name="לינק מוקד רווח 2"/>
    <tableColumn id="6" name="לינק מוקד רווח 3"/>
    <tableColumn id="7" name="לינק מוקד רווח 4"/>
    <tableColumn id="8" name="לינק מוקד רווח 5"/>
    <tableColumn id="9" name="לינק מוקד רווח 6"/>
    <tableColumn id="10" name="לינק מוקד רווח 7"/>
    <tableColumn id="11" name="לינק מוקד רווח 8"/>
    <tableColumn id="12" name="לינק מוקד רווח 9"/>
  </tableColumns>
  <tableStyleInfo name="TableStyleMedium6" showRowStripes="1"/>
</table>
</file>

<file path=xl/tables/table3.xml><?xml version="1.0" encoding="utf-8"?>
<table xmlns="http://schemas.openxmlformats.org/spreadsheetml/2006/main" id="3" name="tblMessages" displayName="tblMessages" ref="A4:E8" headerRowCount="1">
  <autoFilter ref="A4:E8"/>
  <tableColumns count="5">
    <tableColumn id="1" name="סוג ההודעה"/>
    <tableColumn id="2" name="פנימה \ החוצה"/>
    <tableColumn id="3" name="תוכן ההודעה פנימה"/>
    <tableColumn id="4" name="תוכן ההודעה החוצה"/>
    <tableColumn id="5" name="הערות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000F2A43"/>
    <outlinePr summaryBelow="1" summaryRight="1"/>
    <pageSetUpPr/>
  </sheetPr>
  <dimension ref="A1:H17"/>
  <sheetViews>
    <sheetView showGridLines="0" rightToLeft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4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>לוח בקרה ניהולי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דו-רה-מי והמתחם · תמונת מצב תפעולית</t>
        </is>
      </c>
      <c r="B2" s="2" t="n"/>
      <c r="C2" s="2" t="n"/>
      <c r="D2" s="2" t="n"/>
      <c r="E2" s="2" t="n"/>
      <c r="F2" s="2" t="n"/>
      <c r="G2" s="2" t="n"/>
      <c r="H2" s="2" t="n"/>
    </row>
    <row r="4" ht="22" customHeight="1">
      <c r="A4" s="4" t="inlineStr">
        <is>
          <t>סך משימות</t>
        </is>
      </c>
      <c r="B4" s="5" t="n"/>
      <c r="C4" s="6" t="inlineStr">
        <is>
          <t>הושלמו</t>
        </is>
      </c>
      <c r="D4" s="5" t="n"/>
      <c r="E4" s="7" t="inlineStr">
        <is>
          <t>בתהליך</t>
        </is>
      </c>
      <c r="F4" s="5" t="n"/>
      <c r="G4" s="8" t="inlineStr">
        <is>
          <t>לא בוצע</t>
        </is>
      </c>
      <c r="H4" s="5" t="n"/>
    </row>
    <row r="5" ht="30" customHeight="1">
      <c r="A5" s="9">
        <f>12</f>
        <v/>
      </c>
      <c r="B5" s="5" t="n"/>
      <c r="C5" s="10">
        <f>COUNTIF(משימות!$G$5:$G$16,"בוצע")</f>
        <v/>
      </c>
      <c r="D5" s="5" t="n"/>
      <c r="E5" s="11">
        <f>COUNTIF(משימות!$G$5:$G$16,"בתהליך")</f>
        <v/>
      </c>
      <c r="F5" s="5" t="n"/>
      <c r="G5" s="12">
        <f>COUNTIF(משימות!$G$5:$G$16,"לא בוצע")</f>
        <v/>
      </c>
      <c r="H5" s="5" t="n"/>
    </row>
    <row r="6" ht="26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8" ht="20" customHeight="1">
      <c r="A8" s="13" t="inlineStr">
        <is>
          <t>אחוז השלמה כללי</t>
        </is>
      </c>
      <c r="B8" s="5" t="n"/>
      <c r="C8" s="5" t="n"/>
      <c r="D8" s="5" t="n"/>
    </row>
    <row r="9" ht="30" customHeight="1">
      <c r="A9" s="14">
        <f>IFERROR(COUNTIF(משימות!$G$5:$G$16,"בוצע")/12,0)</f>
        <v/>
      </c>
      <c r="B9" s="5" t="n"/>
      <c r="C9" s="5" t="n"/>
      <c r="D9" s="5" t="n"/>
    </row>
    <row r="12">
      <c r="A12" s="15" t="inlineStr">
        <is>
          <t>סטטוס</t>
        </is>
      </c>
      <c r="B12" s="15" t="inlineStr">
        <is>
          <t>כמות</t>
        </is>
      </c>
      <c r="D12" s="15" t="inlineStr">
        <is>
          <t>קטגוריה</t>
        </is>
      </c>
      <c r="E12" s="15" t="inlineStr">
        <is>
          <t>כמות משימות</t>
        </is>
      </c>
    </row>
    <row r="13">
      <c r="A13" s="16" t="inlineStr">
        <is>
          <t>בוצע</t>
        </is>
      </c>
      <c r="B13" s="17">
        <f>COUNTIF(משימות!$G$5:$G$16,"בוצע")</f>
        <v/>
      </c>
      <c r="D13" s="16" t="inlineStr">
        <is>
          <t>אוטומציה</t>
        </is>
      </c>
      <c r="E13" s="17">
        <f>COUNTIF(משימות!$A$5:$A$16,"אוטומציה")</f>
        <v/>
      </c>
    </row>
    <row r="14">
      <c r="A14" s="16" t="inlineStr">
        <is>
          <t>בתהליך</t>
        </is>
      </c>
      <c r="B14" s="17">
        <f>COUNTIF(משימות!$G$5:$G$16,"בתהליך")</f>
        <v/>
      </c>
      <c r="D14" s="16" t="inlineStr">
        <is>
          <t>טכני</t>
        </is>
      </c>
      <c r="E14" s="17">
        <f>COUNTIF(משימות!$A$5:$A$16,"טכני")</f>
        <v/>
      </c>
    </row>
    <row r="15">
      <c r="A15" s="16" t="inlineStr">
        <is>
          <t>לא בוצע</t>
        </is>
      </c>
      <c r="B15" s="17">
        <f>COUNTIF(משימות!$G$5:$G$16,"לא בוצע")</f>
        <v/>
      </c>
      <c r="D15" s="16" t="inlineStr">
        <is>
          <t>פולואפ</t>
        </is>
      </c>
      <c r="E15" s="17">
        <f>COUNTIF(משימות!$A$5:$A$16,"פולואפ")</f>
        <v/>
      </c>
    </row>
    <row r="16">
      <c r="D16" s="16" t="inlineStr">
        <is>
          <t>שיווק ומכירה</t>
        </is>
      </c>
      <c r="E16" s="17">
        <f>COUNTIF(משימות!$A$5:$A$16,"שיווק ומכירה")</f>
        <v/>
      </c>
    </row>
    <row r="17">
      <c r="D17" s="16" t="inlineStr">
        <is>
          <t>תהליך קליטה</t>
        </is>
      </c>
      <c r="E17" s="17">
        <f>COUNTIF(משימות!$A$5:$A$16,"תהליך קליטה")</f>
        <v/>
      </c>
    </row>
  </sheetData>
  <mergeCells count="12">
    <mergeCell ref="A4:B4"/>
    <mergeCell ref="G4:H4"/>
    <mergeCell ref="E4:F4"/>
    <mergeCell ref="A9:D9"/>
    <mergeCell ref="A8:D8"/>
    <mergeCell ref="A2:H2"/>
    <mergeCell ref="C5:D6"/>
    <mergeCell ref="A5:B6"/>
    <mergeCell ref="G5:H6"/>
    <mergeCell ref="E5:F6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G16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6" customWidth="1" min="3" max="3"/>
    <col width="50" customWidth="1" min="4" max="4"/>
    <col width="22" customWidth="1" min="5" max="5"/>
    <col width="18" customWidth="1" min="6" max="6"/>
    <col width="16" customWidth="1" min="7" max="7"/>
  </cols>
  <sheetData>
    <row r="1" ht="34" customHeight="1">
      <c r="A1" s="1" t="inlineStr">
        <is>
          <t>משימות — מעקב ביצוע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דו-רה-מי והמתחם · ניהול תפעולי</t>
        </is>
      </c>
      <c r="B2" s="2" t="n"/>
      <c r="C2" s="2" t="n"/>
      <c r="D2" s="2" t="n"/>
      <c r="E2" s="2" t="n"/>
      <c r="F2" s="2" t="n"/>
      <c r="G2" s="2" t="n"/>
    </row>
    <row r="4" ht="30" customHeight="1">
      <c r="A4" s="18" t="inlineStr">
        <is>
          <t>קטגוריה</t>
        </is>
      </c>
      <c r="B4" s="18" t="inlineStr">
        <is>
          <t>משימה</t>
        </is>
      </c>
      <c r="C4" s="18" t="inlineStr">
        <is>
          <t>הערה</t>
        </is>
      </c>
      <c r="D4" s="18" t="inlineStr">
        <is>
          <t>פירוט</t>
        </is>
      </c>
      <c r="E4" s="18" t="inlineStr">
        <is>
          <t>אחראי</t>
        </is>
      </c>
      <c r="F4" s="18" t="inlineStr">
        <is>
          <t>תאריך יעד</t>
        </is>
      </c>
      <c r="G4" s="18" t="inlineStr">
        <is>
          <t>סטטוס</t>
        </is>
      </c>
    </row>
    <row r="5" ht="26" customHeight="1">
      <c r="A5" s="19" t="inlineStr">
        <is>
          <t>פולואפ</t>
        </is>
      </c>
      <c r="B5" s="19" t="inlineStr">
        <is>
          <t>ניסוח הודעת פולואפ ראשונה</t>
        </is>
      </c>
      <c r="C5" s="19" t="n"/>
      <c r="D5" s="19" t="inlineStr">
        <is>
          <t>כתיבת הודעת פולואפ ראשונית ללידים לאחר פנייה ראשונה</t>
        </is>
      </c>
      <c r="E5" s="19" t="inlineStr">
        <is>
          <t>סמואל</t>
        </is>
      </c>
      <c r="F5" s="19" t="inlineStr">
        <is>
          <t xml:space="preserve">עד יום שני  </t>
        </is>
      </c>
      <c r="G5" s="19" t="inlineStr">
        <is>
          <t>לא בוצע</t>
        </is>
      </c>
    </row>
    <row r="6" ht="26" customHeight="1">
      <c r="A6" s="20" t="inlineStr">
        <is>
          <t>פולואפ</t>
        </is>
      </c>
      <c r="B6" s="20" t="inlineStr">
        <is>
          <t>ניסוח הודעת פולואפ שנייה</t>
        </is>
      </c>
      <c r="C6" s="20" t="n"/>
      <c r="D6" s="20" t="inlineStr">
        <is>
          <t>הודעת 'אנחנו כאן לכל שאלה אם תרצה להמשיך'</t>
        </is>
      </c>
      <c r="E6" s="20" t="inlineStr">
        <is>
          <t>סמואל</t>
        </is>
      </c>
      <c r="F6" s="20" t="inlineStr">
        <is>
          <t xml:space="preserve">עד יום שני  </t>
        </is>
      </c>
      <c r="G6" s="20" t="inlineStr">
        <is>
          <t>לא בוצע</t>
        </is>
      </c>
    </row>
    <row r="7" ht="26" customHeight="1">
      <c r="A7" s="19" t="inlineStr">
        <is>
          <t>טכני</t>
        </is>
      </c>
      <c r="B7" s="19" t="inlineStr">
        <is>
          <t>יצירת קישורי Calendly</t>
        </is>
      </c>
      <c r="C7" s="19" t="n"/>
      <c r="D7" s="19" t="inlineStr">
        <is>
          <t>יצירת קישור תיאום פגישה נפרד לכל גורם מטפל</t>
        </is>
      </c>
      <c r="E7" s="19" t="inlineStr">
        <is>
          <t>סמואל</t>
        </is>
      </c>
      <c r="F7" s="19" t="inlineStr">
        <is>
          <t>עד ייום חמישי</t>
        </is>
      </c>
      <c r="G7" s="19" t="inlineStr">
        <is>
          <t>לא בוצע</t>
        </is>
      </c>
    </row>
    <row r="8" ht="26" customHeight="1">
      <c r="A8" s="20" t="inlineStr">
        <is>
          <t>טכני</t>
        </is>
      </c>
      <c r="B8" s="20" t="inlineStr">
        <is>
          <t>מערכת תפוצות WhatsApp</t>
        </is>
      </c>
      <c r="C8" s="20" t="n"/>
      <c r="D8" s="20" t="inlineStr">
        <is>
          <t>איתור כלי לתפוצות WhatsApp או קבלת עדכון מאור ואריאל</t>
        </is>
      </c>
      <c r="E8" s="20" t="inlineStr">
        <is>
          <t>סמואל</t>
        </is>
      </c>
      <c r="F8" s="20" t="inlineStr">
        <is>
          <t>עד הפגישה הבאה</t>
        </is>
      </c>
      <c r="G8" s="20" t="inlineStr">
        <is>
          <t>לא בוצע</t>
        </is>
      </c>
    </row>
    <row r="9" ht="26" customHeight="1">
      <c r="A9" s="19" t="inlineStr">
        <is>
          <t>תהליך קליטה</t>
        </is>
      </c>
      <c r="B9" s="19" t="inlineStr">
        <is>
          <t>בניית צ'ק ליסט קליטה</t>
        </is>
      </c>
      <c r="C9" s="19" t="n"/>
      <c r="D9" s="19" t="inlineStr">
        <is>
          <t>הגדרת תהליך קליטת לקוח כולל טפסים, אישורים, גבייה ותהליך עבודה</t>
        </is>
      </c>
      <c r="E9" s="19" t="inlineStr">
        <is>
          <t>סמואל, ליעד, שרית, ליגל</t>
        </is>
      </c>
      <c r="F9" s="19" t="inlineStr">
        <is>
          <t>בתהליך</t>
        </is>
      </c>
      <c r="G9" s="19" t="inlineStr">
        <is>
          <t>לא בוצע</t>
        </is>
      </c>
    </row>
    <row r="10" ht="26" customHeight="1">
      <c r="A10" s="20" t="inlineStr">
        <is>
          <t>תהליך קליטה</t>
        </is>
      </c>
      <c r="B10" s="20" t="inlineStr">
        <is>
          <t>צ'ק ליסט לכל מוקד רווח</t>
        </is>
      </c>
      <c r="C10" s="20" t="n"/>
      <c r="D10" s="20" t="inlineStr">
        <is>
          <t>בניית צ'ק ליסט ייעודי לכל יחידת רווח</t>
        </is>
      </c>
      <c r="E10" s="20" t="inlineStr">
        <is>
          <t>סמואל</t>
        </is>
      </c>
      <c r="F10" s="20" t="inlineStr">
        <is>
          <t>בתהליך</t>
        </is>
      </c>
      <c r="G10" s="20" t="inlineStr">
        <is>
          <t>לא בוצע</t>
        </is>
      </c>
    </row>
    <row r="11" ht="26" customHeight="1">
      <c r="A11" s="19" t="inlineStr">
        <is>
          <t>שיווק ומכירה</t>
        </is>
      </c>
      <c r="B11" s="19" t="inlineStr">
        <is>
          <t>בניית דף נחיתה מאסטר</t>
        </is>
      </c>
      <c r="C11" s="19" t="inlineStr">
        <is>
          <t>לבנות את התוכן לא את דף נחיתה עצמו</t>
        </is>
      </c>
      <c r="D11" s="19" t="inlineStr">
        <is>
          <t>בניית דף נחיתה הכולל כלל הפרטים הרלוונטיים</t>
        </is>
      </c>
      <c r="E11" s="19" t="inlineStr">
        <is>
          <t>ליעד + גורם מטפל</t>
        </is>
      </c>
      <c r="F11" s="19" t="inlineStr">
        <is>
          <t>בתהליך</t>
        </is>
      </c>
      <c r="G11" s="19" t="inlineStr">
        <is>
          <t>לא בוצע</t>
        </is>
      </c>
    </row>
    <row r="12" ht="26" customHeight="1">
      <c r="A12" s="20" t="inlineStr">
        <is>
          <t>שיווק ומכירה</t>
        </is>
      </c>
      <c r="B12" s="20" t="inlineStr">
        <is>
          <t>יצירת תוכן לדף נחיתה לכל מוקד רווח</t>
        </is>
      </c>
      <c r="C12" s="20" t="n"/>
      <c r="D12" s="20" t="inlineStr">
        <is>
          <t>כתיבת תוכן שיווקי, מכירתי ופרסומי לדף הנחיתה</t>
        </is>
      </c>
      <c r="E12" s="20" t="inlineStr">
        <is>
          <t>ליעד + גורם מטפל</t>
        </is>
      </c>
      <c r="F12" s="20" t="inlineStr">
        <is>
          <t>בתהליך</t>
        </is>
      </c>
      <c r="G12" s="20" t="inlineStr">
        <is>
          <t>לא בוצע</t>
        </is>
      </c>
    </row>
    <row r="13" ht="26" customHeight="1">
      <c r="A13" s="19" t="inlineStr">
        <is>
          <t>שיווק ומכירה</t>
        </is>
      </c>
      <c r="B13" s="19" t="inlineStr">
        <is>
          <t>הפקת סרטון לדף נחיתה</t>
        </is>
      </c>
      <c r="C13" s="19" t="n"/>
      <c r="D13" s="19" t="inlineStr">
        <is>
          <t>הכנת סרטון שיווקי להצגה בדף הנחיתה</t>
        </is>
      </c>
      <c r="E13" s="19" t="inlineStr">
        <is>
          <t>ליעד + גורם מטפל</t>
        </is>
      </c>
      <c r="F13" s="19" t="inlineStr">
        <is>
          <t>בתהליך</t>
        </is>
      </c>
      <c r="G13" s="19" t="inlineStr">
        <is>
          <t>לא בוצע</t>
        </is>
      </c>
    </row>
    <row r="14" ht="26" customHeight="1">
      <c r="A14" s="20" t="inlineStr">
        <is>
          <t>שיווק ומכירה</t>
        </is>
      </c>
      <c r="B14" s="20" t="inlineStr">
        <is>
          <t>הוספת קישורי יצירת קשר</t>
        </is>
      </c>
      <c r="C14" s="20" t="n"/>
      <c r="D14" s="20" t="inlineStr">
        <is>
          <t>שילוב קישור לתיאום פגישה וקישור לשיחה בתוך דף הנחיתה</t>
        </is>
      </c>
      <c r="E14" s="20" t="inlineStr">
        <is>
          <t>סמואל</t>
        </is>
      </c>
      <c r="F14" s="20" t="inlineStr">
        <is>
          <t>בתהליך</t>
        </is>
      </c>
      <c r="G14" s="20" t="inlineStr">
        <is>
          <t>לא בוצע</t>
        </is>
      </c>
    </row>
    <row r="15" ht="26" customHeight="1">
      <c r="A15" s="19" t="inlineStr">
        <is>
          <t>שיווק ומכירה</t>
        </is>
      </c>
      <c r="B15" s="19" t="inlineStr">
        <is>
          <t>ניסוח הודעה על קליטת הלקוח במערכת</t>
        </is>
      </c>
      <c r="C15" s="19" t="n"/>
      <c r="D15" s="19" t="inlineStr">
        <is>
          <t>ניסוח הודעה שתצא אוטומטית עם קליטת הלקוח עם כל הפרטים</t>
        </is>
      </c>
      <c r="E15" s="19" t="inlineStr">
        <is>
          <t>סמואל, ליעד</t>
        </is>
      </c>
      <c r="F15" s="19" t="inlineStr">
        <is>
          <t xml:space="preserve">עד יום שני  </t>
        </is>
      </c>
      <c r="G15" s="19" t="inlineStr">
        <is>
          <t>לא בוצע</t>
        </is>
      </c>
    </row>
    <row r="16" ht="26" customHeight="1">
      <c r="A16" s="20" t="inlineStr">
        <is>
          <t>אוטומציה</t>
        </is>
      </c>
      <c r="B16" s="20" t="inlineStr">
        <is>
          <t>מחקר צ'אט בוט</t>
        </is>
      </c>
      <c r="C16" s="20" t="n"/>
      <c r="D16" s="20" t="inlineStr">
        <is>
          <t>בדיקת פתרונות והמלצה על אופן יישום צ'אט בוט</t>
        </is>
      </c>
      <c r="E16" s="20" t="inlineStr">
        <is>
          <t>ירין</t>
        </is>
      </c>
      <c r="F16" s="20" t="inlineStr">
        <is>
          <t>עד הפגישה הבאה</t>
        </is>
      </c>
      <c r="G16" s="20" t="inlineStr">
        <is>
          <t>לא בוצע</t>
        </is>
      </c>
    </row>
  </sheetData>
  <mergeCells count="2">
    <mergeCell ref="A2:G2"/>
    <mergeCell ref="A1:G1"/>
  </mergeCells>
  <conditionalFormatting sqref="G5:G16">
    <cfRule type="cellIs" priority="1" operator="equal" dxfId="0">
      <formula>"בוצע"</formula>
    </cfRule>
    <cfRule type="cellIs" priority="2" operator="equal" dxfId="1">
      <formula>"בתהליך"</formula>
    </cfRule>
    <cfRule type="cellIs" priority="3" operator="equal" dxfId="2">
      <formula>"לא בוצע"</formula>
    </cfRule>
  </conditionalFormatting>
  <dataValidations count="2">
    <dataValidation sqref="G5:G16" showDropDown="0" showInputMessage="0" showErrorMessage="0" allowBlank="1" errorTitle="ערך לא תקין" error="בחר ערך מהרשימה" promptTitle="סטטוס" prompt="בחר סטטוס משימה" type="list">
      <formula1>"לא בוצע,בתהליך,בוצע"</formula1>
    </dataValidation>
    <dataValidation sqref="A5:A16" showDropDown="0" showInputMessage="0" showErrorMessage="0" allowBlank="1" type="list">
      <formula1>"אוטומציה,טכני,פולואפ,שיווק ומכירה,תהליך קליטה"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L7"/>
  <sheetViews>
    <sheetView showGridLines="0"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34" customHeight="1">
      <c r="A1" s="1" t="inlineStr">
        <is>
          <t>מאגר לינקים מוכנים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>לינקים לפי מוקדי רווח · שליחה ללידים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 ht="30" customHeight="1">
      <c r="A4" s="18" t="inlineStr">
        <is>
          <t>שם הלינק</t>
        </is>
      </c>
      <c r="B4" s="18" t="inlineStr">
        <is>
          <t>תיאור הלינק</t>
        </is>
      </c>
      <c r="C4" s="18" t="inlineStr">
        <is>
          <t>לינק מאסטר</t>
        </is>
      </c>
      <c r="D4" s="18" t="inlineStr">
        <is>
          <t>לינק מוקד רווח 1</t>
        </is>
      </c>
      <c r="E4" s="18" t="inlineStr">
        <is>
          <t>לינק מוקד רווח 2</t>
        </is>
      </c>
      <c r="F4" s="18" t="inlineStr">
        <is>
          <t>לינק מוקד רווח 3</t>
        </is>
      </c>
      <c r="G4" s="18" t="inlineStr">
        <is>
          <t>לינק מוקד רווח 4</t>
        </is>
      </c>
      <c r="H4" s="18" t="inlineStr">
        <is>
          <t>לינק מוקד רווח 5</t>
        </is>
      </c>
      <c r="I4" s="18" t="inlineStr">
        <is>
          <t>לינק מוקד רווח 6</t>
        </is>
      </c>
      <c r="J4" s="18" t="inlineStr">
        <is>
          <t>לינק מוקד רווח 7</t>
        </is>
      </c>
      <c r="K4" s="18" t="inlineStr">
        <is>
          <t>לינק מוקד רווח 8</t>
        </is>
      </c>
      <c r="L4" s="18" t="inlineStr">
        <is>
          <t>לינק מוקד רווח 9</t>
        </is>
      </c>
    </row>
    <row r="5" ht="26" customHeight="1">
      <c r="A5" s="19" t="inlineStr">
        <is>
          <t>לינק מכירה</t>
        </is>
      </c>
      <c r="B5" s="19" t="inlineStr">
        <is>
          <t>לינק שנשלח לאחר שהליד משאיר פרטים עם כל המידע הנדרש</t>
        </is>
      </c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</row>
    <row r="6" ht="26" customHeight="1">
      <c r="A6" s="20" t="inlineStr">
        <is>
          <t>לינק פגישה</t>
        </is>
      </c>
      <c r="B6" s="20" t="inlineStr">
        <is>
          <t>לינק ששולח את הליד לתיאום פגישה בקלנדלי</t>
        </is>
      </c>
      <c r="C6" s="20" t="inlineStr">
        <is>
          <t>-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</row>
    <row r="7" ht="26" customHeight="1">
      <c r="A7" s="19" t="inlineStr">
        <is>
          <t>לינק שיחה ישירה</t>
        </is>
      </c>
      <c r="B7" s="19" t="inlineStr">
        <is>
          <t>לינק ששולח את הליד ישירות לוואטסאפ של הגורם המטפל</t>
        </is>
      </c>
      <c r="C7" s="19" t="inlineStr">
        <is>
          <t>-</t>
        </is>
      </c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E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40" customWidth="1" min="3" max="3"/>
    <col width="40" customWidth="1" min="4" max="4"/>
    <col width="45" customWidth="1" min="5" max="5"/>
  </cols>
  <sheetData>
    <row r="1" ht="34" customHeight="1">
      <c r="A1" s="1" t="inlineStr">
        <is>
          <t>מאגר הודעות</t>
        </is>
      </c>
      <c r="B1" s="2" t="n"/>
      <c r="C1" s="2" t="n"/>
      <c r="D1" s="2" t="n"/>
      <c r="E1" s="2" t="n"/>
    </row>
    <row r="2" ht="20" customHeight="1">
      <c r="A2" s="3" t="inlineStr">
        <is>
          <t>תבניות הודעות פנימה / החוצה ללקוחות ולידים</t>
        </is>
      </c>
      <c r="B2" s="2" t="n"/>
      <c r="C2" s="2" t="n"/>
      <c r="D2" s="2" t="n"/>
      <c r="E2" s="2" t="n"/>
    </row>
    <row r="4" ht="30" customHeight="1">
      <c r="A4" s="18" t="inlineStr">
        <is>
          <t>סוג ההודעה</t>
        </is>
      </c>
      <c r="B4" s="18" t="inlineStr">
        <is>
          <t>פנימה \ החוצה</t>
        </is>
      </c>
      <c r="C4" s="18" t="inlineStr">
        <is>
          <t>תוכן ההודעה פנימה</t>
        </is>
      </c>
      <c r="D4" s="18" t="inlineStr">
        <is>
          <t>תוכן ההודעה החוצה</t>
        </is>
      </c>
      <c r="E4" s="18" t="inlineStr">
        <is>
          <t>הערות</t>
        </is>
      </c>
    </row>
    <row r="5" ht="26" customHeight="1">
      <c r="A5" s="19" t="inlineStr">
        <is>
          <t>פרטיך התקבלו</t>
        </is>
      </c>
      <c r="B5" s="19" t="inlineStr">
        <is>
          <t>פנימה והחוצה</t>
        </is>
      </c>
      <c r="C5" s="19" t="n"/>
      <c r="D5" s="19" t="n"/>
      <c r="E5" s="19" t="inlineStr">
        <is>
          <t>הודעה שהלקוח מקבל עם השארת פרטיו בדפי הנחיתה</t>
        </is>
      </c>
    </row>
    <row r="6" ht="26" customHeight="1">
      <c r="A6" s="20" t="inlineStr">
        <is>
          <t>קליטת הלקוח במערכת</t>
        </is>
      </c>
      <c r="B6" s="20" t="inlineStr">
        <is>
          <t>פנימה והחוצה</t>
        </is>
      </c>
      <c r="C6" s="20" t="n"/>
      <c r="D6" s="20" t="n"/>
      <c r="E6" s="20" t="inlineStr">
        <is>
          <t>הודעה שהלקוח מקבל עם קליטתו במערכת ויצירת "כרטיס לקוח"</t>
        </is>
      </c>
    </row>
    <row r="7" ht="26" customHeight="1">
      <c r="A7" s="19" t="inlineStr">
        <is>
          <t>הודעת פולואו אפ ראשונה</t>
        </is>
      </c>
      <c r="B7" s="19" t="inlineStr">
        <is>
          <t>החוצה</t>
        </is>
      </c>
      <c r="C7" s="19" t="n"/>
      <c r="D7" s="19" t="inlineStr">
        <is>
          <t>-</t>
        </is>
      </c>
      <c r="E7" s="19" t="n"/>
    </row>
    <row r="8" ht="26" customHeight="1">
      <c r="A8" s="20" t="inlineStr">
        <is>
          <t>הודעת פולואו אפ שנייה</t>
        </is>
      </c>
      <c r="B8" s="20" t="inlineStr">
        <is>
          <t>החוצה</t>
        </is>
      </c>
      <c r="C8" s="20" t="n"/>
      <c r="D8" s="20" t="inlineStr">
        <is>
          <t>-</t>
        </is>
      </c>
      <c r="E8" s="20" t="n"/>
    </row>
  </sheetData>
  <mergeCells count="2">
    <mergeCell ref="A2:E2"/>
    <mergeCell ref="A1:E1"/>
  </mergeCells>
  <dataValidations count="1">
    <dataValidation sqref="B5:B8" showDropDown="0" showInputMessage="0" showErrorMessage="0" allowBlank="1" type="list">
      <formula1>"פנימה,החוצה,פנימה והחוצה"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1:C20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34" customHeight="1">
      <c r="A1" s="1" t="inlineStr">
        <is>
          <t>README — מדריך הקובץ</t>
        </is>
      </c>
      <c r="B1" s="2" t="n"/>
      <c r="C1" s="2" t="n"/>
    </row>
    <row r="2" ht="20" customHeight="1">
      <c r="A2" s="3" t="inlineStr">
        <is>
          <t>מבנה, גיליונות ושיפורים שבוצעו</t>
        </is>
      </c>
      <c r="B2" s="2" t="n"/>
      <c r="C2" s="2" t="n"/>
    </row>
    <row r="5" ht="26" customHeight="1">
      <c r="B5" s="21" t="inlineStr">
        <is>
          <t>על הקובץ</t>
        </is>
      </c>
    </row>
    <row r="6" ht="30" customHeight="1">
      <c r="B6" s="22" t="inlineStr">
        <is>
          <t>קובץ ניהול תפעולי של דו-רה-מי והמתחם. עוצב מחדש לרמה עסקית מקצועית תוך שמירה מלאה על כל הנתונים המקוריים.</t>
        </is>
      </c>
    </row>
    <row r="7" ht="26" customHeight="1">
      <c r="B7" s="21" t="inlineStr">
        <is>
          <t>גיליונות</t>
        </is>
      </c>
    </row>
    <row r="8" ht="32" customHeight="1">
      <c r="B8" s="23" t="inlineStr">
        <is>
          <t>•  לוח בקרה — דשבורד ניהולי עם מדדי KPI (סך משימות, הושלמו, בתהליך, לא בוצע), אחוז השלמה, וגרפים: התפלגות סטטוס ומשימות לפי קטגוריה. כל המדדים מתעדכנים אוטומטית מנתוני גיליון המשימות.</t>
        </is>
      </c>
    </row>
    <row r="9" ht="32" customHeight="1">
      <c r="B9" s="23" t="inlineStr">
        <is>
          <t>•  משימות — טבלת מעקב משימות רשמית (Excel Table) עם פילטרים, הקפאת כותרת, רשימות בחירה לקטגוריה ולסטטוס, וצביעה מותנית: ירוק=בוצע, צהוב=בתהליך, אדום=לא בוצע.</t>
        </is>
      </c>
    </row>
    <row r="10" ht="32" customHeight="1">
      <c r="B10" s="23" t="inlineStr">
        <is>
          <t>•  מאגר לינקים — לינקים מוכנים לפי מוקדי רווח, מאורגנים כטבלה עם פילטרים והקפאת עמודות מזהות.</t>
        </is>
      </c>
    </row>
    <row r="11" ht="32" customHeight="1">
      <c r="B11" s="23" t="inlineStr">
        <is>
          <t>•  מאגר הודעות — תבניות הודעות פנימה/החוצה עם רשימת בחירה לכיוון ההודעה.</t>
        </is>
      </c>
    </row>
    <row r="12" ht="26" customHeight="1">
      <c r="B12" s="21" t="inlineStr">
        <is>
          <t>שיפורים שבוצעו</t>
        </is>
      </c>
    </row>
    <row r="13" ht="32" customHeight="1">
      <c r="B13" s="23" t="inlineStr">
        <is>
          <t>•  עיצוב אחיד ומינימליסטי עם פס כותרת, צבעוניות עקבית וגבולות נקיים בכל הגיליונות.</t>
        </is>
      </c>
    </row>
    <row r="14" ht="32" customHeight="1">
      <c r="B14" s="23" t="inlineStr">
        <is>
          <t>•  טבלאות Excel רשמיות עם פסי שורות (זברה), פילטרים אוטומטיים והקפאת שורת כותרת.</t>
        </is>
      </c>
    </row>
    <row r="15" ht="32" customHeight="1">
      <c r="B15" s="23" t="inlineStr">
        <is>
          <t>•  רוחב עמודות וגובה שורות מותאמים לקריאוּת גבוהה במחשב ובמובייל.</t>
        </is>
      </c>
    </row>
    <row r="16" ht="32" customHeight="1">
      <c r="B16" s="23" t="inlineStr">
        <is>
          <t>•  Data Validation (רשימות בחירה) למניעת טעויות הזנה בשדות סטטוס, קטגוריה וכיוון הודעה.</t>
        </is>
      </c>
    </row>
    <row r="17" ht="32" customHeight="1">
      <c r="B17" s="23" t="inlineStr">
        <is>
          <t>•  Conditional Formatting לזיהוי מהיר של דחיפות וסטטוס.</t>
        </is>
      </c>
    </row>
    <row r="18" ht="32" customHeight="1">
      <c r="B18" s="23" t="inlineStr">
        <is>
          <t>•  דשבורד ניהולי עם נוסחאות COUNTIF דינמיות וגרפים מקצועיים.</t>
        </is>
      </c>
    </row>
    <row r="19" ht="26" customHeight="1">
      <c r="B19" s="21" t="inlineStr">
        <is>
          <t>הערת נתונים</t>
        </is>
      </c>
    </row>
    <row r="20" ht="30" customHeight="1">
      <c r="B20" s="22" t="inlineStr">
        <is>
          <t>ערכי הסטטוס במשימות נוסחו מחדש לבהירות: "לא" → "לא בוצע". ניתן לעדכן לכל ערך מהרשימה (לא בוצע / בתהליך / בוצע). שום נתון לא נמחק.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Operations</dc:creator>
  <dc:title>דו-רה-מי והמתחם — ניהול תפעולי</dc:title>
  <dcterms:created xsi:type="dcterms:W3CDTF">2026-06-20T08:47:34Z</dcterms:created>
  <dcterms:modified xsi:type="dcterms:W3CDTF">2026-06-20T08:47:34Z</dcterms:modified>
</cp:coreProperties>
</file>